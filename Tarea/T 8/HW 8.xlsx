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pmel\Documentos\ITESO 7mo Semestre\Analisis-de-Riesgo\Tarea\T 8\"/>
    </mc:Choice>
  </mc:AlternateContent>
  <xr:revisionPtr revIDLastSave="0" documentId="13_ncr:1_{DA27A52D-8ED7-4DA5-9915-77E37C221806}" xr6:coauthVersionLast="47" xr6:coauthVersionMax="47" xr10:uidLastSave="{00000000-0000-0000-0000-000000000000}"/>
  <bookViews>
    <workbookView xWindow="10718" yWindow="0" windowWidth="10965" windowHeight="12863" firstSheet="1" activeTab="1" xr2:uid="{FA5DC0DE-FCB1-4F25-86C0-221DD4038241}"/>
  </bookViews>
  <sheets>
    <sheet name="Constant Historical Volatility" sheetId="1" r:id="rId1"/>
    <sheet name="Moving Average with Constant We" sheetId="2" r:id="rId2"/>
    <sheet name="Hoja1" sheetId="4" r:id="rId3"/>
    <sheet name="EWMA"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3" l="1"/>
  <c r="L25" i="3" s="1"/>
  <c r="D27" i="3" s="1"/>
  <c r="F27" i="3" s="1"/>
  <c r="J25" i="3"/>
  <c r="K16" i="3"/>
  <c r="I16" i="3"/>
  <c r="G16" i="3"/>
  <c r="K7" i="3"/>
  <c r="M7" i="3"/>
  <c r="G9" i="3"/>
  <c r="I9" i="3"/>
  <c r="K9" i="3"/>
  <c r="K10" i="3"/>
  <c r="M10" i="3"/>
  <c r="K6" i="3"/>
  <c r="I6" i="3"/>
  <c r="G6" i="3"/>
  <c r="D13" i="1"/>
  <c r="E10" i="1"/>
  <c r="J6" i="1"/>
  <c r="G6" i="1"/>
  <c r="F25" i="2"/>
  <c r="F24" i="2"/>
  <c r="F23" i="2"/>
  <c r="F22" i="2"/>
  <c r="F21" i="2"/>
  <c r="G26" i="2" s="1" a="1"/>
  <c r="G26" i="2" s="1"/>
  <c r="F20" i="2"/>
  <c r="G25" i="2" s="1" a="1"/>
  <c r="G25" i="2" s="1"/>
  <c r="F19" i="2"/>
  <c r="G24" i="2" s="1" a="1"/>
  <c r="G24" i="2" s="1"/>
  <c r="F18" i="2"/>
  <c r="F17" i="2"/>
  <c r="F16" i="2"/>
  <c r="F15" i="2"/>
  <c r="F14" i="2"/>
  <c r="F13" i="2"/>
  <c r="F12" i="2"/>
  <c r="F11" i="2"/>
  <c r="F10" i="2"/>
  <c r="F9" i="2"/>
  <c r="F8" i="2"/>
  <c r="F7" i="2"/>
  <c r="H17" i="2" l="1" a="1"/>
  <c r="H17" i="2" s="1"/>
  <c r="H20" i="2" a="1"/>
  <c r="H20" i="2" s="1"/>
  <c r="H21" i="2" a="1"/>
  <c r="H21" i="2" s="1"/>
  <c r="G17" i="2" a="1"/>
  <c r="G17" i="2" s="1"/>
  <c r="H23" i="2" a="1"/>
  <c r="H23" i="2" s="1"/>
  <c r="H24" i="2" a="1"/>
  <c r="H24" i="2" s="1"/>
  <c r="H25" i="2" a="1"/>
  <c r="H25" i="2" s="1"/>
  <c r="H26" i="2" a="1"/>
  <c r="H26" i="2" s="1"/>
  <c r="G22" i="2" a="1"/>
  <c r="G22" i="2" s="1"/>
  <c r="G19" i="2" a="1"/>
  <c r="G19" i="2" s="1"/>
  <c r="G18" i="2" a="1"/>
  <c r="G18" i="2" s="1"/>
  <c r="H18" i="2" a="1"/>
  <c r="H18" i="2" s="1"/>
  <c r="H19" i="2" a="1"/>
  <c r="H19" i="2" s="1"/>
  <c r="H22" i="2" a="1"/>
  <c r="H22" i="2" s="1"/>
  <c r="G12" i="2" a="1"/>
  <c r="G12" i="2" s="1"/>
  <c r="G23" i="2" a="1"/>
  <c r="G23" i="2" s="1"/>
  <c r="G13" i="2" a="1"/>
  <c r="G13" i="2" s="1"/>
  <c r="G14" i="2" a="1"/>
  <c r="G14" i="2" s="1"/>
  <c r="G20" i="2" a="1"/>
  <c r="G20" i="2" s="1"/>
  <c r="G15" i="2" a="1"/>
  <c r="G15" i="2" s="1"/>
  <c r="G16" i="2" a="1"/>
  <c r="G16" i="2" s="1"/>
  <c r="G21" i="2" a="1"/>
  <c r="G2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<sst xmlns="http://schemas.openxmlformats.org/spreadsheetml/2006/main" count="66" uniqueCount="44">
  <si>
    <t>Homework 8: Volatility, Moving Average and EWMA</t>
  </si>
  <si>
    <t>Time</t>
  </si>
  <si>
    <t>Price</t>
  </si>
  <si>
    <t>Yield</t>
  </si>
  <si>
    <t>m=5</t>
  </si>
  <si>
    <t>m=10</t>
  </si>
  <si>
    <t>4 days ago</t>
  </si>
  <si>
    <t>3 days ago</t>
  </si>
  <si>
    <t>2 days ago</t>
  </si>
  <si>
    <t>Yesterday</t>
  </si>
  <si>
    <t>Today</t>
  </si>
  <si>
    <t>Tomorrow</t>
  </si>
  <si>
    <t>Con estos datos , se debería de elegir el de m=20 , esto porque es el que menor RSME tiene.</t>
  </si>
  <si>
    <t>Tendrían el mismo peso para los 40 datos que se dan. O sea sería 1/40</t>
  </si>
  <si>
    <t xml:space="preserve">1) </t>
  </si>
  <si>
    <r>
      <rPr>
        <sz val="11"/>
        <color theme="1"/>
        <rFont val="Aptos Narrow"/>
        <family val="2"/>
      </rPr>
      <t>σ</t>
    </r>
    <r>
      <rPr>
        <vertAlign val="subscript"/>
        <sz val="11"/>
        <color theme="1"/>
        <rFont val="Aptos Narrow"/>
        <family val="2"/>
      </rPr>
      <t>anual</t>
    </r>
    <r>
      <rPr>
        <sz val="11"/>
        <color theme="1"/>
        <rFont val="Aptos Narrow"/>
        <family val="2"/>
      </rPr>
      <t>=</t>
    </r>
  </si>
  <si>
    <t>S=</t>
  </si>
  <si>
    <t xml:space="preserve"> </t>
  </si>
  <si>
    <r>
      <t>σ</t>
    </r>
    <r>
      <rPr>
        <vertAlign val="subscript"/>
        <sz val="11"/>
        <color theme="1"/>
        <rFont val="Aptos Narrow"/>
        <family val="2"/>
      </rPr>
      <t>Diaria</t>
    </r>
    <r>
      <rPr>
        <sz val="11"/>
        <color theme="1"/>
        <rFont val="Aptos Narrow"/>
        <family val="2"/>
      </rPr>
      <t>=</t>
    </r>
  </si>
  <si>
    <r>
      <t>σ</t>
    </r>
    <r>
      <rPr>
        <vertAlign val="subscript"/>
        <sz val="11"/>
        <color theme="1"/>
        <rFont val="Aptos Narrow"/>
        <family val="2"/>
      </rPr>
      <t>semana</t>
    </r>
    <r>
      <rPr>
        <sz val="11"/>
        <color theme="1"/>
        <rFont val="Aptos Narrow"/>
        <family val="2"/>
      </rPr>
      <t>=</t>
    </r>
  </si>
  <si>
    <t>2)</t>
  </si>
  <si>
    <t>σ=</t>
  </si>
  <si>
    <t xml:space="preserve">ds = </t>
  </si>
  <si>
    <t>k=</t>
  </si>
  <si>
    <t>3)</t>
  </si>
  <si>
    <t xml:space="preserve">t= </t>
  </si>
  <si>
    <r>
      <t>w</t>
    </r>
    <r>
      <rPr>
        <vertAlign val="subscript"/>
        <sz val="11"/>
        <color theme="1"/>
        <rFont val="Aptos Narrow"/>
        <family val="2"/>
        <scheme val="minor"/>
      </rPr>
      <t>1,2</t>
    </r>
    <r>
      <rPr>
        <sz val="11"/>
        <color theme="1"/>
        <rFont val="Aptos Narrow"/>
        <family val="2"/>
        <scheme val="minor"/>
      </rPr>
      <t>=</t>
    </r>
  </si>
  <si>
    <t>1)</t>
  </si>
  <si>
    <r>
      <t>(1-0.94)(0.03</t>
    </r>
    <r>
      <rPr>
        <vertAlign val="superscript"/>
        <sz val="11"/>
        <color theme="1"/>
        <rFont val="Aptos Narrow"/>
        <family val="2"/>
        <scheme val="minor"/>
      </rPr>
      <t>2</t>
    </r>
    <r>
      <rPr>
        <sz val="11"/>
        <color theme="1"/>
        <rFont val="Aptos Narrow"/>
        <family val="2"/>
        <scheme val="minor"/>
      </rPr>
      <t>)</t>
    </r>
  </si>
  <si>
    <t>+</t>
  </si>
  <si>
    <r>
      <t>(0.94)(0.01</t>
    </r>
    <r>
      <rPr>
        <vertAlign val="superscript"/>
        <sz val="11"/>
        <color theme="1"/>
        <rFont val="Aptos Narrow"/>
        <family val="2"/>
        <scheme val="minor"/>
      </rPr>
      <t>2</t>
    </r>
    <r>
      <rPr>
        <sz val="11"/>
        <color theme="1"/>
        <rFont val="Aptos Narrow"/>
        <family val="2"/>
        <scheme val="minor"/>
      </rPr>
      <t>)</t>
    </r>
  </si>
  <si>
    <t>=</t>
  </si>
  <si>
    <r>
      <t>(1-0.94)(0.003</t>
    </r>
    <r>
      <rPr>
        <vertAlign val="superscript"/>
        <sz val="11"/>
        <color theme="1"/>
        <rFont val="Aptos Narrow"/>
        <family val="2"/>
        <scheme val="minor"/>
      </rPr>
      <t>2</t>
    </r>
    <r>
      <rPr>
        <sz val="11"/>
        <color theme="1"/>
        <rFont val="Aptos Narrow"/>
        <family val="2"/>
        <scheme val="minor"/>
      </rPr>
      <t>)</t>
    </r>
  </si>
  <si>
    <r>
      <t>(1-0.94)((30.5/30)-1)</t>
    </r>
    <r>
      <rPr>
        <vertAlign val="superscript"/>
        <sz val="11"/>
        <color theme="1"/>
        <rFont val="Aptos Narrow"/>
        <family val="2"/>
        <scheme val="minor"/>
      </rPr>
      <t>2</t>
    </r>
  </si>
  <si>
    <r>
      <t>0.94(0.015)</t>
    </r>
    <r>
      <rPr>
        <vertAlign val="superscript"/>
        <sz val="11"/>
        <color theme="1"/>
        <rFont val="Aptos Narrow"/>
        <family val="2"/>
        <scheme val="minor"/>
      </rPr>
      <t>2</t>
    </r>
  </si>
  <si>
    <t>4)</t>
  </si>
  <si>
    <t>5)</t>
  </si>
  <si>
    <r>
      <t>σ</t>
    </r>
    <r>
      <rPr>
        <vertAlign val="superscript"/>
        <sz val="11"/>
        <color theme="1"/>
        <rFont val="Aptos Narrow"/>
        <family val="2"/>
      </rPr>
      <t>2</t>
    </r>
    <r>
      <rPr>
        <sz val="11"/>
        <color theme="1"/>
        <rFont val="Aptos Narrow"/>
        <family val="2"/>
      </rPr>
      <t xml:space="preserve"> =</t>
    </r>
  </si>
  <si>
    <r>
      <t>(1-0.9)((1.495/1.5)-1)</t>
    </r>
    <r>
      <rPr>
        <vertAlign val="superscript"/>
        <sz val="11"/>
        <color theme="1"/>
        <rFont val="Aptos Narrow"/>
        <family val="2"/>
        <scheme val="minor"/>
      </rPr>
      <t>2</t>
    </r>
  </si>
  <si>
    <r>
      <t>0.9(0.006)</t>
    </r>
    <r>
      <rPr>
        <vertAlign val="superscript"/>
        <sz val="11"/>
        <color theme="1"/>
        <rFont val="Aptos Narrow"/>
        <family val="2"/>
        <scheme val="minor"/>
      </rPr>
      <t>2</t>
    </r>
  </si>
  <si>
    <t>σ =</t>
  </si>
  <si>
    <t>Al disminuir el coeficiente λ, se redistribuye el peso asignado a las observaciones, restándoselo a las más antiguas y otorgándoselo a las más recientes. Esto impacta directamente en el pronóstico, ya que lo hace más sensible a las tendencias actuales, permitiendo que el modelo responda con mayor rapidez a los cambios recientes en los datos.</t>
  </si>
  <si>
    <t>Este modelo aplica una ponderación exponencial a los rendimientos, de modo que los valores más antiguos tienen un menor peso en comparación con los más recientes. Esto permite que el modelo dé mayor relevancia a la información reciente y se adapte mejor a los cambios del mercado.</t>
  </si>
  <si>
    <t>En este modelo, todos los días tienen el mismo peso, por lo que un dato de hace 1,253 días tiene la misma relevancia que el del día anterior al realizar una predicción futura.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</si>
</sst>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00"/>
    <numFmt numFmtId="166" formatCode="0.000%"/>
    <numFmt numFmtId="171" formatCode="_-* #,##0.0000000_-;\-* #,##0.0000000_-;_-* &quot;-&quot;??_-;_-@_-"/>
    <numFmt numFmtId="172" formatCode="_-* #,##0.00000000_-;\-* #,##0.00000000_-;_-* &quot;-&quot;??_-;_-@_-"/>
    <numFmt numFmtId="173" formatCode="0.0000%"/>
  </numFmts>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ptos Narrow"/>
      <family val="2"/>
    </font>
    <font>
      <vertAlign val="subscript"/>
      <sz val="11"/>
      <color theme="1"/>
      <name val="Aptos Narrow"/>
      <family val="2"/>
    </font>
    <font>
      <vertAlign val="subscript"/>
      <sz val="11"/>
      <color theme="1"/>
      <name val="Aptos Narrow"/>
      <family val="2"/>
      <scheme val="minor"/>
    </font>
    <font>
      <vertAlign val="superscript"/>
      <sz val="11"/>
      <color theme="1"/>
      <name val="Aptos Narrow"/>
      <family val="2"/>
      <scheme val="minor"/>
    </font>
    <font>
      <vertAlign val="superscript"/>
      <sz val="11"/>
      <color theme="1"/>
      <name val="Aptos Narrow"/>
      <family val="2"/>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7" tint="0.39997558519241921"/>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6">
    <xf numFmtId="0" fontId="0" fillId="0" borderId="0" xfId="0"/>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2" borderId="10" xfId="0" applyFill="1" applyBorder="1"/>
    <xf numFmtId="0" fontId="0" fillId="0" borderId="9" xfId="0" applyBorder="1"/>
    <xf numFmtId="0" fontId="0" fillId="2" borderId="11" xfId="0" applyFill="1" applyBorder="1"/>
    <xf numFmtId="0" fontId="0" fillId="2" borderId="12" xfId="0" applyFill="1" applyBorder="1"/>
    <xf numFmtId="0" fontId="0" fillId="2" borderId="13" xfId="0" applyFill="1" applyBorder="1"/>
    <xf numFmtId="0" fontId="0" fillId="2" borderId="14" xfId="0" applyFill="1" applyBorder="1"/>
    <xf numFmtId="164" fontId="0" fillId="0" borderId="9" xfId="0" applyNumberFormat="1" applyBorder="1"/>
    <xf numFmtId="0" fontId="0" fillId="2" borderId="15" xfId="0" applyFill="1" applyBorder="1"/>
    <xf numFmtId="0" fontId="0" fillId="2" borderId="16" xfId="0" applyFill="1" applyBorder="1"/>
    <xf numFmtId="0" fontId="0" fillId="2" borderId="17" xfId="0" applyFill="1" applyBorder="1"/>
    <xf numFmtId="10" fontId="0" fillId="0" borderId="9" xfId="2" applyNumberFormat="1" applyFont="1" applyBorder="1"/>
    <xf numFmtId="0" fontId="0" fillId="2" borderId="18" xfId="0" applyFill="1" applyBorder="1"/>
    <xf numFmtId="164" fontId="2" fillId="0" borderId="9" xfId="0" applyNumberFormat="1" applyFont="1" applyBorder="1"/>
    <xf numFmtId="10" fontId="2" fillId="0" borderId="9" xfId="2" applyNumberFormat="1" applyFont="1" applyBorder="1"/>
    <xf numFmtId="164" fontId="0" fillId="0" borderId="9" xfId="0" applyNumberFormat="1" applyFont="1" applyBorder="1"/>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0" xfId="0" applyFill="1"/>
    <xf numFmtId="0" fontId="0" fillId="3" borderId="4" xfId="0" applyFill="1" applyBorder="1" applyAlignment="1">
      <alignment horizontal="center" vertical="center" wrapText="1"/>
    </xf>
    <xf numFmtId="0" fontId="0" fillId="3" borderId="0" xfId="0" applyFill="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4" fillId="3" borderId="0" xfId="0" applyFont="1" applyFill="1"/>
    <xf numFmtId="0" fontId="0" fillId="3" borderId="0" xfId="0" applyFill="1" applyAlignment="1">
      <alignment horizontal="center"/>
    </xf>
    <xf numFmtId="0" fontId="4" fillId="3" borderId="0" xfId="0" applyFont="1" applyFill="1" applyAlignment="1">
      <alignment horizontal="center"/>
    </xf>
    <xf numFmtId="172" fontId="0" fillId="3" borderId="0" xfId="1" applyNumberFormat="1" applyFont="1" applyFill="1" applyAlignment="1">
      <alignment horizontal="center"/>
    </xf>
    <xf numFmtId="173" fontId="0" fillId="3" borderId="0" xfId="2" applyNumberFormat="1" applyFont="1" applyFill="1" applyAlignment="1">
      <alignment horizontal="center"/>
    </xf>
    <xf numFmtId="10" fontId="0" fillId="4" borderId="0" xfId="2" applyNumberFormat="1" applyFont="1" applyFill="1" applyAlignment="1">
      <alignment horizontal="center"/>
    </xf>
    <xf numFmtId="166" fontId="0" fillId="4" borderId="0" xfId="2" applyNumberFormat="1" applyFont="1" applyFill="1" applyAlignment="1">
      <alignment horizontal="center"/>
    </xf>
    <xf numFmtId="0" fontId="0" fillId="4" borderId="0" xfId="0" applyFill="1" applyAlignment="1">
      <alignment horizontal="center"/>
    </xf>
    <xf numFmtId="171" fontId="0" fillId="4" borderId="0" xfId="1" applyNumberFormat="1" applyFont="1" applyFill="1" applyAlignment="1">
      <alignment horizontal="center"/>
    </xf>
    <xf numFmtId="0" fontId="0" fillId="3" borderId="0" xfId="0" applyFill="1" applyBorder="1" applyAlignment="1">
      <alignment horizontal="center" vertical="center" wrapText="1"/>
    </xf>
    <xf numFmtId="0" fontId="3" fillId="0" borderId="9" xfId="0" applyFont="1" applyBorder="1" applyAlignment="1">
      <alignment horizont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742951</xdr:colOff>
      <xdr:row>5</xdr:row>
      <xdr:rowOff>57150</xdr:rowOff>
    </xdr:from>
    <xdr:to>
      <xdr:col>13</xdr:col>
      <xdr:colOff>700088</xdr:colOff>
      <xdr:row>7</xdr:row>
      <xdr:rowOff>171453</xdr:rowOff>
    </xdr:to>
    <xdr:pic>
      <xdr:nvPicPr>
        <xdr:cNvPr id="2" name="Imagen 1">
          <a:extLst>
            <a:ext uri="{FF2B5EF4-FFF2-40B4-BE49-F238E27FC236}">
              <a16:creationId xmlns:a16="http://schemas.microsoft.com/office/drawing/2014/main" id="{7D1CE8CE-793D-DB4F-2017-BA1D6254D419}"/>
            </a:ext>
          </a:extLst>
        </xdr:cNvPr>
        <xdr:cNvPicPr>
          <a:picLocks noChangeAspect="1"/>
        </xdr:cNvPicPr>
      </xdr:nvPicPr>
      <xdr:blipFill>
        <a:blip xmlns:r="http://schemas.openxmlformats.org/officeDocument/2006/relationships" r:embed="rId1"/>
        <a:stretch>
          <a:fillRect/>
        </a:stretch>
      </xdr:blipFill>
      <xdr:spPr>
        <a:xfrm>
          <a:off x="6838951" y="966788"/>
          <a:ext cx="3767137" cy="476253"/>
        </a:xfrm>
        <a:prstGeom prst="rect">
          <a:avLst/>
        </a:prstGeom>
      </xdr:spPr>
    </xdr:pic>
    <xdr:clientData/>
  </xdr:twoCellAnchor>
  <xdr:twoCellAnchor editAs="oneCell">
    <xdr:from>
      <xdr:col>9</xdr:col>
      <xdr:colOff>14289</xdr:colOff>
      <xdr:row>14</xdr:row>
      <xdr:rowOff>4764</xdr:rowOff>
    </xdr:from>
    <xdr:to>
      <xdr:col>14</xdr:col>
      <xdr:colOff>100013</xdr:colOff>
      <xdr:row>22</xdr:row>
      <xdr:rowOff>77980</xdr:rowOff>
    </xdr:to>
    <xdr:pic>
      <xdr:nvPicPr>
        <xdr:cNvPr id="4" name="Imagen 3">
          <a:extLst>
            <a:ext uri="{FF2B5EF4-FFF2-40B4-BE49-F238E27FC236}">
              <a16:creationId xmlns:a16="http://schemas.microsoft.com/office/drawing/2014/main" id="{1EE21CD2-1A1E-BABE-E8AC-0D36BA2E6B87}"/>
            </a:ext>
          </a:extLst>
        </xdr:cNvPr>
        <xdr:cNvPicPr>
          <a:picLocks noChangeAspect="1"/>
        </xdr:cNvPicPr>
      </xdr:nvPicPr>
      <xdr:blipFill>
        <a:blip xmlns:r="http://schemas.openxmlformats.org/officeDocument/2006/relationships" r:embed="rId2"/>
        <a:stretch>
          <a:fillRect/>
        </a:stretch>
      </xdr:blipFill>
      <xdr:spPr>
        <a:xfrm>
          <a:off x="6872289" y="3448052"/>
          <a:ext cx="3895724" cy="152101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FAC87-CA55-4016-A4F3-3043881946CF}">
  <dimension ref="A1:J18"/>
  <sheetViews>
    <sheetView zoomScale="79" workbookViewId="0">
      <selection activeCell="C15" sqref="C15:I18"/>
    </sheetView>
  </sheetViews>
  <sheetFormatPr baseColWidth="10" defaultRowHeight="14.25" x14ac:dyDescent="0.45"/>
  <cols>
    <col min="1" max="16384" width="10.6640625" style="28"/>
  </cols>
  <sheetData>
    <row r="1" spans="1:10" x14ac:dyDescent="0.45">
      <c r="A1" s="25" t="s">
        <v>0</v>
      </c>
      <c r="B1" s="26"/>
      <c r="C1" s="27"/>
    </row>
    <row r="2" spans="1:10" x14ac:dyDescent="0.45">
      <c r="A2" s="29"/>
      <c r="B2" s="30"/>
      <c r="C2" s="31"/>
    </row>
    <row r="3" spans="1:10" ht="14.65" thickBot="1" x14ac:dyDescent="0.5">
      <c r="A3" s="32"/>
      <c r="B3" s="33"/>
      <c r="C3" s="34"/>
    </row>
    <row r="6" spans="1:10" ht="15.75" x14ac:dyDescent="0.55000000000000004">
      <c r="B6" s="28" t="s">
        <v>14</v>
      </c>
      <c r="C6" s="35" t="s">
        <v>15</v>
      </c>
      <c r="D6" s="28">
        <v>0.45</v>
      </c>
      <c r="E6" s="28" t="s">
        <v>17</v>
      </c>
      <c r="F6" s="35" t="s">
        <v>18</v>
      </c>
      <c r="G6" s="28">
        <f>0.45*SQRT(1/252)</f>
        <v>2.8347335475692046E-2</v>
      </c>
      <c r="I6" s="35" t="s">
        <v>19</v>
      </c>
      <c r="J6" s="28">
        <f>0.45*SQRT(5/252)</f>
        <v>6.3386569104638746E-2</v>
      </c>
    </row>
    <row r="8" spans="1:10" x14ac:dyDescent="0.45">
      <c r="B8" s="28" t="s">
        <v>20</v>
      </c>
      <c r="C8" s="28" t="s">
        <v>16</v>
      </c>
      <c r="D8" s="28">
        <v>65</v>
      </c>
      <c r="F8" s="35" t="s">
        <v>21</v>
      </c>
      <c r="G8" s="28">
        <v>0.32</v>
      </c>
    </row>
    <row r="10" spans="1:10" x14ac:dyDescent="0.45">
      <c r="C10" s="28" t="s">
        <v>22</v>
      </c>
      <c r="D10" s="28" t="s">
        <v>23</v>
      </c>
      <c r="E10" s="28">
        <f>G8*D8*SQRT(1/252)</f>
        <v>1.3102768397653213</v>
      </c>
    </row>
    <row r="12" spans="1:10" x14ac:dyDescent="0.45">
      <c r="B12" s="28" t="s">
        <v>24</v>
      </c>
      <c r="C12" s="28" t="s">
        <v>25</v>
      </c>
      <c r="D12" s="28">
        <v>1253</v>
      </c>
    </row>
    <row r="13" spans="1:10" ht="15.75" x14ac:dyDescent="0.55000000000000004">
      <c r="C13" s="28" t="s">
        <v>26</v>
      </c>
      <c r="D13" s="28">
        <f>1/D12</f>
        <v>7.9808459696727857E-4</v>
      </c>
    </row>
    <row r="15" spans="1:10" x14ac:dyDescent="0.45">
      <c r="C15" s="30" t="s">
        <v>43</v>
      </c>
      <c r="D15" s="30"/>
      <c r="E15" s="30"/>
      <c r="F15" s="30"/>
      <c r="G15" s="30"/>
      <c r="H15" s="30"/>
      <c r="I15" s="30"/>
    </row>
    <row r="16" spans="1:10" x14ac:dyDescent="0.45">
      <c r="C16" s="30"/>
      <c r="D16" s="30"/>
      <c r="E16" s="30"/>
      <c r="F16" s="30"/>
      <c r="G16" s="30"/>
      <c r="H16" s="30"/>
      <c r="I16" s="30"/>
    </row>
    <row r="17" spans="3:9" x14ac:dyDescent="0.45">
      <c r="C17" s="30"/>
      <c r="D17" s="30"/>
      <c r="E17" s="30"/>
      <c r="F17" s="30"/>
      <c r="G17" s="30"/>
      <c r="H17" s="30"/>
      <c r="I17" s="30"/>
    </row>
    <row r="18" spans="3:9" x14ac:dyDescent="0.45">
      <c r="C18" s="30"/>
      <c r="D18" s="30"/>
      <c r="E18" s="30"/>
      <c r="F18" s="30"/>
      <c r="G18" s="30"/>
      <c r="H18" s="30"/>
      <c r="I18" s="30"/>
    </row>
  </sheetData>
  <mergeCells count="2">
    <mergeCell ref="A1:C3"/>
    <mergeCell ref="C15:I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DE71-5176-443B-A91F-CA072C406C27}">
  <dimension ref="A1:J26"/>
  <sheetViews>
    <sheetView tabSelected="1" topLeftCell="C3" zoomScaleNormal="125" workbookViewId="0">
      <selection activeCell="C12" sqref="C12"/>
    </sheetView>
  </sheetViews>
  <sheetFormatPr baseColWidth="10" defaultRowHeight="14.25" x14ac:dyDescent="0.45"/>
  <sheetData>
    <row r="1" spans="1:10" x14ac:dyDescent="0.45">
      <c r="A1" s="1" t="s">
        <v>0</v>
      </c>
      <c r="B1" s="2"/>
      <c r="C1" s="3"/>
    </row>
    <row r="2" spans="1:10" x14ac:dyDescent="0.45">
      <c r="A2" s="4"/>
      <c r="B2" s="5"/>
      <c r="C2" s="6"/>
    </row>
    <row r="3" spans="1:10" ht="14.65" thickBot="1" x14ac:dyDescent="0.5">
      <c r="A3" s="7"/>
      <c r="B3" s="8"/>
      <c r="C3" s="9"/>
    </row>
    <row r="5" spans="1:10" x14ac:dyDescent="0.45">
      <c r="D5" s="45" t="s">
        <v>1</v>
      </c>
      <c r="E5" s="45" t="s">
        <v>2</v>
      </c>
      <c r="F5" s="45" t="s">
        <v>3</v>
      </c>
      <c r="G5" s="45" t="s">
        <v>4</v>
      </c>
      <c r="H5" s="45" t="s">
        <v>5</v>
      </c>
    </row>
    <row r="6" spans="1:10" x14ac:dyDescent="0.45">
      <c r="D6" s="10"/>
      <c r="E6" s="11">
        <v>74.78</v>
      </c>
      <c r="F6" s="12"/>
      <c r="G6" s="13"/>
      <c r="H6" s="14"/>
    </row>
    <row r="7" spans="1:10" x14ac:dyDescent="0.45">
      <c r="D7" s="15"/>
      <c r="E7" s="11">
        <v>73.91</v>
      </c>
      <c r="F7" s="16">
        <f>E7/E6-1</f>
        <v>-1.1634126771864151E-2</v>
      </c>
      <c r="G7" s="17"/>
      <c r="H7" s="18"/>
    </row>
    <row r="8" spans="1:10" x14ac:dyDescent="0.45">
      <c r="D8" s="15"/>
      <c r="E8" s="11">
        <v>74.72</v>
      </c>
      <c r="F8" s="16">
        <f t="shared" ref="F8:F25" si="0">E8/E7-1</f>
        <v>1.0959274793667984E-2</v>
      </c>
      <c r="G8" s="17"/>
      <c r="H8" s="18"/>
    </row>
    <row r="9" spans="1:10" x14ac:dyDescent="0.45">
      <c r="D9" s="15"/>
      <c r="E9" s="11">
        <v>75.19</v>
      </c>
      <c r="F9" s="16">
        <f t="shared" si="0"/>
        <v>6.2901498929335276E-3</v>
      </c>
      <c r="G9" s="17"/>
      <c r="H9" s="18"/>
    </row>
    <row r="10" spans="1:10" x14ac:dyDescent="0.45">
      <c r="D10" s="15"/>
      <c r="E10" s="11">
        <v>74.06</v>
      </c>
      <c r="F10" s="16">
        <f t="shared" si="0"/>
        <v>-1.5028594227955772E-2</v>
      </c>
      <c r="G10" s="17"/>
      <c r="H10" s="18"/>
      <c r="J10" t="s">
        <v>13</v>
      </c>
    </row>
    <row r="11" spans="1:10" x14ac:dyDescent="0.45">
      <c r="D11" s="15"/>
      <c r="E11" s="11">
        <v>74.150000000000006</v>
      </c>
      <c r="F11" s="16">
        <f t="shared" si="0"/>
        <v>1.2152308938699896E-3</v>
      </c>
      <c r="G11" s="19"/>
      <c r="H11" s="18"/>
    </row>
    <row r="12" spans="1:10" x14ac:dyDescent="0.45">
      <c r="D12" s="15"/>
      <c r="E12" s="11">
        <v>75.06</v>
      </c>
      <c r="F12" s="16">
        <f t="shared" si="0"/>
        <v>1.2272420768711934E-2</v>
      </c>
      <c r="G12" s="20" cm="1">
        <f t="array" ref="G12">SQRT(AVERAGE(F7:F11^2))</f>
        <v>1.0221154788148607E-2</v>
      </c>
      <c r="H12" s="15"/>
    </row>
    <row r="13" spans="1:10" x14ac:dyDescent="0.45">
      <c r="D13" s="15"/>
      <c r="E13" s="11">
        <v>75.23</v>
      </c>
      <c r="F13" s="16">
        <f t="shared" si="0"/>
        <v>2.2648547828403309E-3</v>
      </c>
      <c r="G13" s="20" cm="1">
        <f t="array" ref="G13">SQRT(AVERAGE(F8:F12^2))</f>
        <v>1.036937251521973E-2</v>
      </c>
      <c r="H13" s="15"/>
    </row>
    <row r="14" spans="1:10" x14ac:dyDescent="0.45">
      <c r="D14" s="15"/>
      <c r="E14" s="11">
        <v>77.56</v>
      </c>
      <c r="F14" s="22">
        <f t="shared" si="0"/>
        <v>3.0971686827063749E-2</v>
      </c>
      <c r="G14" s="20" cm="1">
        <f t="array" ref="G14">SQRT(AVERAGE(F9:F13^2))</f>
        <v>9.1939468671642863E-3</v>
      </c>
      <c r="H14" s="15"/>
    </row>
    <row r="15" spans="1:10" x14ac:dyDescent="0.45">
      <c r="D15" s="15"/>
      <c r="E15" s="11">
        <v>77.72</v>
      </c>
      <c r="F15" s="16">
        <f t="shared" si="0"/>
        <v>2.0629190304279899E-3</v>
      </c>
      <c r="G15" s="20" cm="1">
        <f t="array" ref="G15">SQRT(AVERAGE(F10:F14^2))</f>
        <v>1.6384887513921739E-2</v>
      </c>
      <c r="H15" s="15"/>
    </row>
    <row r="16" spans="1:10" x14ac:dyDescent="0.45">
      <c r="D16" s="15"/>
      <c r="E16" s="11">
        <v>74.87</v>
      </c>
      <c r="F16" s="22">
        <f t="shared" si="0"/>
        <v>-3.6670097786927314E-2</v>
      </c>
      <c r="G16" s="20" cm="1">
        <f t="array" ref="G16">SQRT(AVERAGE(F11:F15^2))</f>
        <v>1.4971437370385645E-2</v>
      </c>
      <c r="H16" s="21"/>
    </row>
    <row r="17" spans="4:10" x14ac:dyDescent="0.45">
      <c r="D17" s="15"/>
      <c r="E17" s="11">
        <v>77.44</v>
      </c>
      <c r="F17" s="16">
        <f t="shared" si="0"/>
        <v>3.4326165353278926E-2</v>
      </c>
      <c r="G17" s="23" cm="1">
        <f t="array" ref="G17">SQRT(AVERAGE(F12:F16^2))</f>
        <v>2.2198824159194983E-2</v>
      </c>
      <c r="H17" s="20" cm="1">
        <f t="array" ref="H17">SQRT(AVERAGE(F7:F16^2))</f>
        <v>1.7280911423506459E-2</v>
      </c>
    </row>
    <row r="18" spans="4:10" x14ac:dyDescent="0.45">
      <c r="D18" s="15"/>
      <c r="E18" s="11">
        <v>74.39</v>
      </c>
      <c r="F18" s="16">
        <f t="shared" si="0"/>
        <v>-3.9385330578512345E-2</v>
      </c>
      <c r="G18" s="20" cm="1">
        <f t="array" ref="G18">SQRT(AVERAGE(F13:F17^2))</f>
        <v>2.6425791517343918E-2</v>
      </c>
      <c r="H18" s="20" cm="1">
        <f t="array" ref="H18">SQRT(AVERAGE(F8:F17^2))</f>
        <v>2.007294626702219E-2</v>
      </c>
    </row>
    <row r="19" spans="4:10" x14ac:dyDescent="0.45">
      <c r="D19" s="15"/>
      <c r="E19" s="11">
        <v>74.52</v>
      </c>
      <c r="F19" s="16">
        <f t="shared" si="0"/>
        <v>1.7475467132679334E-3</v>
      </c>
      <c r="G19" s="20" cm="1">
        <f t="array" ref="G19">SQRT(AVERAGE(F14:F18^2))</f>
        <v>3.1741729581678355E-2</v>
      </c>
      <c r="H19" s="23" cm="1">
        <f t="array" ref="H19">SQRT(AVERAGE(F9:F18^2))</f>
        <v>2.3367349612575181E-2</v>
      </c>
    </row>
    <row r="20" spans="4:10" x14ac:dyDescent="0.45">
      <c r="D20" s="21"/>
      <c r="E20" s="11">
        <v>73.34</v>
      </c>
      <c r="F20" s="16">
        <f t="shared" si="0"/>
        <v>-1.5834675254964958E-2</v>
      </c>
      <c r="G20" s="20" cm="1">
        <f t="array" ref="G20">SQRT(AVERAGE(F15:F19^2))</f>
        <v>2.8570948597424321E-2</v>
      </c>
      <c r="H20" s="20" cm="1">
        <f t="array" ref="H20">SQRT(AVERAGE(F10:F19^2))</f>
        <v>2.3289092324525352E-2</v>
      </c>
    </row>
    <row r="21" spans="4:10" x14ac:dyDescent="0.45">
      <c r="D21" s="11" t="s">
        <v>6</v>
      </c>
      <c r="E21" s="11">
        <v>74.36</v>
      </c>
      <c r="F21" s="16">
        <f t="shared" si="0"/>
        <v>1.3907826561221581E-2</v>
      </c>
      <c r="G21" s="20" cm="1">
        <f t="array" ref="G21">SQRT(AVERAGE(F16:F20^2))</f>
        <v>2.9421002104916178E-2</v>
      </c>
      <c r="H21" s="20" cm="1">
        <f t="array" ref="H21">SQRT(AVERAGE(F11:F20^2))</f>
        <v>2.3342443121842048E-2</v>
      </c>
    </row>
    <row r="22" spans="4:10" x14ac:dyDescent="0.45">
      <c r="D22" s="11" t="s">
        <v>7</v>
      </c>
      <c r="E22" s="11">
        <v>74.28</v>
      </c>
      <c r="F22" s="22">
        <f t="shared" si="0"/>
        <v>-1.0758472296933386E-3</v>
      </c>
      <c r="G22" s="23" cm="1">
        <f t="array" ref="G22">SQRT(AVERAGE(F17:F21^2))</f>
        <v>2.5205984972786206E-2</v>
      </c>
      <c r="H22" s="20" cm="1">
        <f t="array" ref="H22">SQRT(AVERAGE(F12:F21^2))</f>
        <v>2.3750047078892104E-2</v>
      </c>
    </row>
    <row r="23" spans="4:10" x14ac:dyDescent="0.45">
      <c r="D23" s="11" t="s">
        <v>8</v>
      </c>
      <c r="E23" s="11">
        <v>76.989999999999995</v>
      </c>
      <c r="F23" s="16">
        <f t="shared" si="0"/>
        <v>3.6483575659665979E-2</v>
      </c>
      <c r="G23" s="20" cm="1">
        <f t="array" ref="G23">SQRT(AVERAGE(F18:F22^2))</f>
        <v>1.9997900948062582E-2</v>
      </c>
      <c r="H23" s="20" cm="1">
        <f t="array" ref="H23">SQRT(AVERAGE(F13:F22^2))</f>
        <v>2.3433293618766528E-2</v>
      </c>
    </row>
    <row r="24" spans="4:10" x14ac:dyDescent="0.45">
      <c r="D24" s="11" t="s">
        <v>9</v>
      </c>
      <c r="E24" s="11">
        <v>75.77</v>
      </c>
      <c r="F24" s="24">
        <f t="shared" si="0"/>
        <v>-1.5846213793999198E-2</v>
      </c>
      <c r="G24" s="20" cm="1">
        <f t="array" ref="G24">SQRT(AVERAGE(F19:F23^2))</f>
        <v>1.8864926396773906E-2</v>
      </c>
      <c r="H24" s="20" cm="1">
        <f t="array" ref="H24">SQRT(AVERAGE(F14:F23^2))</f>
        <v>2.6109604026029305E-2</v>
      </c>
      <c r="J24" t="s">
        <v>12</v>
      </c>
    </row>
    <row r="25" spans="4:10" x14ac:dyDescent="0.45">
      <c r="D25" s="11" t="s">
        <v>10</v>
      </c>
      <c r="E25" s="11">
        <v>76.62</v>
      </c>
      <c r="F25" s="24">
        <f t="shared" si="0"/>
        <v>1.1218160221723839E-2</v>
      </c>
      <c r="G25" s="20" cm="1">
        <f t="array" ref="G25">SQRT(AVERAGE(F20:F24^2))</f>
        <v>2.0136910447576414E-2</v>
      </c>
      <c r="H25" s="20" cm="1">
        <f t="array" ref="H25">SQRT(AVERAGE(F15:F24^2))</f>
        <v>2.471633332566114E-2</v>
      </c>
    </row>
    <row r="26" spans="4:10" x14ac:dyDescent="0.45">
      <c r="D26" s="11" t="s">
        <v>11</v>
      </c>
      <c r="E26" s="11"/>
      <c r="F26" s="11"/>
      <c r="G26" s="20" cm="1">
        <f t="array" ref="G26">SQRT(AVERAGE(F21:F25^2))</f>
        <v>1.9506850028636752E-2</v>
      </c>
      <c r="H26" s="20" cm="1">
        <f t="array" ref="H26">SQRT(AVERAGE(F16:F25^2))</f>
        <v>2.4961095357547994E-2</v>
      </c>
    </row>
  </sheetData>
  <mergeCells count="1">
    <mergeCell ref="A1:C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6066B-3BF7-49CF-BDEB-5C6BE397AFF2}">
  <dimension ref="A1"/>
  <sheetViews>
    <sheetView workbookViewId="0"/>
  </sheetViews>
  <sheetFormatPr baseColWidth="10" defaultRowHeight="14.25" x14ac:dyDescent="0.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CE97-A542-4405-9463-3C4A1E2CFD17}">
  <dimension ref="A1:M27"/>
  <sheetViews>
    <sheetView zoomScale="59" workbookViewId="0">
      <selection activeCell="J31" sqref="J31"/>
    </sheetView>
  </sheetViews>
  <sheetFormatPr baseColWidth="10" defaultRowHeight="14.25" x14ac:dyDescent="0.45"/>
  <cols>
    <col min="1" max="2" width="10.6640625" style="28"/>
    <col min="3" max="3" width="17.9296875" style="28" bestFit="1" customWidth="1"/>
    <col min="4" max="4" width="18.46484375" style="28" bestFit="1" customWidth="1"/>
    <col min="5" max="6" width="10.6640625" style="28"/>
    <col min="7" max="8" width="11.73046875" style="28" bestFit="1" customWidth="1"/>
    <col min="9" max="16384" width="10.6640625" style="28"/>
  </cols>
  <sheetData>
    <row r="1" spans="1:13" x14ac:dyDescent="0.45">
      <c r="A1" s="25" t="s">
        <v>0</v>
      </c>
      <c r="B1" s="26"/>
      <c r="C1" s="27"/>
    </row>
    <row r="2" spans="1:13" x14ac:dyDescent="0.45">
      <c r="A2" s="29"/>
      <c r="B2" s="30"/>
      <c r="C2" s="31"/>
    </row>
    <row r="3" spans="1:13" ht="14.65" thickBot="1" x14ac:dyDescent="0.5">
      <c r="A3" s="32"/>
      <c r="B3" s="33"/>
      <c r="C3" s="34"/>
    </row>
    <row r="6" spans="1:13" ht="15.75" x14ac:dyDescent="0.45">
      <c r="B6" s="36" t="s">
        <v>27</v>
      </c>
      <c r="C6" s="36" t="s">
        <v>28</v>
      </c>
      <c r="D6" s="36" t="s">
        <v>29</v>
      </c>
      <c r="E6" s="36" t="s">
        <v>30</v>
      </c>
      <c r="F6" s="36" t="s">
        <v>31</v>
      </c>
      <c r="G6" s="36">
        <f>(1-0.94)*(0.03^2)</f>
        <v>5.4000000000000045E-5</v>
      </c>
      <c r="H6" s="36" t="s">
        <v>29</v>
      </c>
      <c r="I6" s="36">
        <f>(0.94)*(0.01^2)</f>
        <v>9.3999999999999994E-5</v>
      </c>
      <c r="J6" s="36" t="s">
        <v>31</v>
      </c>
      <c r="K6" s="36">
        <f>G6+I6</f>
        <v>1.4800000000000005E-4</v>
      </c>
      <c r="L6" s="36"/>
      <c r="M6" s="36"/>
    </row>
    <row r="7" spans="1:13" x14ac:dyDescent="0.45">
      <c r="B7" s="36"/>
      <c r="C7" s="36"/>
      <c r="D7" s="36"/>
      <c r="E7" s="36"/>
      <c r="F7" s="36"/>
      <c r="G7" s="36"/>
      <c r="H7" s="36"/>
      <c r="I7" s="36"/>
      <c r="J7" s="36"/>
      <c r="K7" s="36">
        <f>SQRT(K6)</f>
        <v>1.2165525060596441E-2</v>
      </c>
      <c r="L7" s="36" t="s">
        <v>31</v>
      </c>
      <c r="M7" s="40">
        <f>K7</f>
        <v>1.2165525060596441E-2</v>
      </c>
    </row>
    <row r="8" spans="1:13" x14ac:dyDescent="0.45">
      <c r="B8" s="36"/>
      <c r="C8" s="36"/>
      <c r="D8" s="36"/>
      <c r="E8" s="36"/>
      <c r="F8" s="36"/>
      <c r="G8" s="36"/>
      <c r="H8" s="36"/>
      <c r="I8" s="36"/>
      <c r="J8" s="36"/>
      <c r="K8" s="36"/>
      <c r="L8" s="36"/>
      <c r="M8" s="36"/>
    </row>
    <row r="9" spans="1:13" ht="15.75" x14ac:dyDescent="0.45">
      <c r="B9" s="36"/>
      <c r="C9" s="36" t="s">
        <v>32</v>
      </c>
      <c r="D9" s="36" t="s">
        <v>29</v>
      </c>
      <c r="E9" s="36" t="s">
        <v>30</v>
      </c>
      <c r="F9" s="36" t="s">
        <v>31</v>
      </c>
      <c r="G9" s="36">
        <f>(1-0.94)*(0.003^2)</f>
        <v>5.4000000000000044E-7</v>
      </c>
      <c r="H9" s="36" t="s">
        <v>29</v>
      </c>
      <c r="I9" s="36">
        <f>I6</f>
        <v>9.3999999999999994E-5</v>
      </c>
      <c r="J9" s="36" t="s">
        <v>31</v>
      </c>
      <c r="K9" s="36">
        <f>G9+I9</f>
        <v>9.4539999999999999E-5</v>
      </c>
      <c r="L9" s="36"/>
      <c r="M9" s="36"/>
    </row>
    <row r="10" spans="1:13" ht="14.65" thickBot="1" x14ac:dyDescent="0.5">
      <c r="B10" s="36"/>
      <c r="C10" s="36"/>
      <c r="D10" s="36"/>
      <c r="E10" s="36"/>
      <c r="F10" s="36"/>
      <c r="G10" s="36"/>
      <c r="H10" s="36"/>
      <c r="I10" s="36"/>
      <c r="J10" s="36"/>
      <c r="K10" s="36">
        <f>SQRT(K9)</f>
        <v>9.7231682079453909E-3</v>
      </c>
      <c r="L10" s="36" t="s">
        <v>31</v>
      </c>
      <c r="M10" s="41">
        <f>K10</f>
        <v>9.7231682079453909E-3</v>
      </c>
    </row>
    <row r="11" spans="1:13" x14ac:dyDescent="0.45">
      <c r="C11" s="25" t="s">
        <v>42</v>
      </c>
      <c r="D11" s="26"/>
      <c r="E11" s="26"/>
      <c r="F11" s="26"/>
      <c r="G11" s="26"/>
      <c r="H11" s="26"/>
      <c r="I11" s="27"/>
    </row>
    <row r="12" spans="1:13" x14ac:dyDescent="0.45">
      <c r="B12" s="36" t="s">
        <v>20</v>
      </c>
      <c r="C12" s="29"/>
      <c r="D12" s="44"/>
      <c r="E12" s="44"/>
      <c r="F12" s="44"/>
      <c r="G12" s="44"/>
      <c r="H12" s="44"/>
      <c r="I12" s="31"/>
      <c r="L12" s="36"/>
    </row>
    <row r="13" spans="1:13" ht="14.65" thickBot="1" x14ac:dyDescent="0.5">
      <c r="C13" s="32"/>
      <c r="D13" s="33"/>
      <c r="E13" s="33"/>
      <c r="F13" s="33"/>
      <c r="G13" s="33"/>
      <c r="H13" s="33"/>
      <c r="I13" s="34"/>
    </row>
    <row r="16" spans="1:13" ht="15.75" x14ac:dyDescent="0.45">
      <c r="B16" s="36" t="s">
        <v>24</v>
      </c>
      <c r="C16" s="36" t="s">
        <v>33</v>
      </c>
      <c r="D16" s="36" t="s">
        <v>29</v>
      </c>
      <c r="E16" s="36" t="s">
        <v>34</v>
      </c>
      <c r="F16" s="36" t="s">
        <v>31</v>
      </c>
      <c r="G16" s="36">
        <f>(1-0.94)*((30.5/30)-1)^2</f>
        <v>1.6666666666666566E-5</v>
      </c>
      <c r="H16" s="36" t="s">
        <v>29</v>
      </c>
      <c r="I16" s="36">
        <f>0.94*(0.015)^2</f>
        <v>2.1149999999999999E-4</v>
      </c>
      <c r="J16" s="36" t="s">
        <v>31</v>
      </c>
      <c r="K16" s="42">
        <f>G16+I16</f>
        <v>2.2816666666666656E-4</v>
      </c>
    </row>
    <row r="18" spans="2:12" ht="14.65" thickBot="1" x14ac:dyDescent="0.5"/>
    <row r="19" spans="2:12" x14ac:dyDescent="0.45">
      <c r="C19" s="25" t="s">
        <v>41</v>
      </c>
      <c r="D19" s="26"/>
      <c r="E19" s="26"/>
      <c r="F19" s="26"/>
      <c r="G19" s="26"/>
      <c r="H19" s="26"/>
      <c r="I19" s="27"/>
    </row>
    <row r="20" spans="2:12" x14ac:dyDescent="0.45">
      <c r="B20" s="36" t="s">
        <v>35</v>
      </c>
      <c r="C20" s="29"/>
      <c r="D20" s="44"/>
      <c r="E20" s="44"/>
      <c r="F20" s="44"/>
      <c r="G20" s="44"/>
      <c r="H20" s="44"/>
      <c r="I20" s="31"/>
    </row>
    <row r="21" spans="2:12" x14ac:dyDescent="0.45">
      <c r="C21" s="29"/>
      <c r="D21" s="44"/>
      <c r="E21" s="44"/>
      <c r="F21" s="44"/>
      <c r="G21" s="44"/>
      <c r="H21" s="44"/>
      <c r="I21" s="31"/>
    </row>
    <row r="22" spans="2:12" ht="14.65" thickBot="1" x14ac:dyDescent="0.5">
      <c r="C22" s="32"/>
      <c r="D22" s="33"/>
      <c r="E22" s="33"/>
      <c r="F22" s="33"/>
      <c r="G22" s="33"/>
      <c r="H22" s="33"/>
      <c r="I22" s="34"/>
    </row>
    <row r="25" spans="2:12" ht="15.75" x14ac:dyDescent="0.45">
      <c r="B25" s="36" t="s">
        <v>36</v>
      </c>
      <c r="C25" s="37" t="s">
        <v>37</v>
      </c>
      <c r="D25" s="36" t="s">
        <v>38</v>
      </c>
      <c r="E25" s="36" t="s">
        <v>29</v>
      </c>
      <c r="F25" s="36" t="s">
        <v>39</v>
      </c>
      <c r="G25" s="36" t="s">
        <v>31</v>
      </c>
      <c r="H25" s="38">
        <f>(1-0.9)*((1.495/1.5)-1)^2</f>
        <v>1.1111111111110882E-6</v>
      </c>
      <c r="I25" s="36" t="s">
        <v>29</v>
      </c>
      <c r="J25" s="36">
        <f>0.9*(0.006)^2</f>
        <v>3.2400000000000001E-5</v>
      </c>
      <c r="K25" s="36" t="s">
        <v>31</v>
      </c>
      <c r="L25" s="43">
        <f>H25+J25</f>
        <v>3.3511111111111087E-5</v>
      </c>
    </row>
    <row r="27" spans="2:12" x14ac:dyDescent="0.45">
      <c r="C27" s="37" t="s">
        <v>40</v>
      </c>
      <c r="D27" s="36">
        <f>SQRT(L25)</f>
        <v>5.7888782256246404E-3</v>
      </c>
      <c r="E27" s="36" t="s">
        <v>31</v>
      </c>
      <c r="F27" s="39">
        <f>D27</f>
        <v>5.7888782256246404E-3</v>
      </c>
    </row>
  </sheetData>
  <mergeCells count="3">
    <mergeCell ref="A1:C3"/>
    <mergeCell ref="C11:I13"/>
    <mergeCell ref="C19:I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Constant Historical Volatility</vt:lpstr>
      <vt:lpstr>Moving Average with Constant We</vt:lpstr>
      <vt:lpstr>Hoja1</vt:lpstr>
      <vt:lpstr>EWMA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MELCHOR SOTO, JOSE ARMANDO</dc:creator>
  <cp:lastModifiedBy>MELCHOR SOTO, JOSE ARMANDO</cp:lastModifiedBy>
  <dcterms:created xsi:type="dcterms:W3CDTF">2025-10-16T22:24:17Z</dcterms:created>
  <dcterms:modified xsi:type="dcterms:W3CDTF">2025-10-16T23:45:36Z</dcterms:modified>
</cp:coreProperties>
</file>